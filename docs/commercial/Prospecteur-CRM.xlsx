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Historique" sheetId="3" state="visible" r:id="rId3"/>
    <sheet xmlns:r="http://schemas.openxmlformats.org/officeDocument/2006/relationships" name="Tableau de bord" sheetId="4" state="visible" r:id="rId4"/>
    <sheet xmlns:r="http://schemas.openxmlformats.org/officeDocument/2006/relationships" name="Planification" sheetId="5" state="visible" r:id="rId5"/>
    <sheet xmlns:r="http://schemas.openxmlformats.org/officeDocument/2006/relationships" name="Paramètres" sheetId="6" state="visible" r:id="rId6"/>
    <sheet xmlns:r="http://schemas.openxmlformats.org/officeDocument/2006/relationships" name="Non-contact" sheetId="7" state="visible" r:id="rId7"/>
  </sheets>
  <definedNames>
    <definedName name="_xlnm._FilterDatabase" localSheetId="1" hidden="1">'Prospects'!$A$1:$AD$10000</definedName>
    <definedName name="_xlnm._FilterDatabase" localSheetId="2" hidden="1">'Historique'!$A$1:$K$10000</definedName>
    <definedName name="_xlnm._FilterDatabase" localSheetId="6" hidden="1">'Non-contact'!$A$1:$J$10000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 &quot;$&quot;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sz val="9"/>
    </font>
    <font>
      <name val="Arial"/>
      <b val="1"/>
      <sz val="14"/>
    </font>
    <font>
      <name val="Arial"/>
      <b val="1"/>
      <color rgb="001F3A5F"/>
    </font>
    <font>
      <name val="Arial"/>
      <sz val="10"/>
    </font>
    <font>
      <name val="Arial"/>
      <b val="1"/>
      <sz val="10"/>
    </font>
    <font>
      <name val="Arial"/>
      <color rgb="006B7280"/>
      <sz val="9"/>
    </font>
    <font>
      <name val="Arial"/>
      <color rgb="00374151"/>
      <sz val="1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9" fillId="3" borderId="0" pivotButton="0" quotePrefix="0" xfId="0"/>
    <xf numFmtId="164" fontId="9" fillId="3" borderId="0" pivotButton="0" quotePrefix="0" xfId="0"/>
  </cellXfs>
  <cellStyles count="1">
    <cellStyle name="Normal" xfId="0" builtinId="0" hidden="0"/>
  </cellStyles>
  <dxfs count="4">
    <dxf>
      <font>
        <color rgb="006B7280"/>
      </font>
      <fill>
        <patternFill patternType="solid">
          <fgColor rgb="00E5E7EB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DE2E1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Prospecteur 2.0 - CRM de prospection</t>
        </is>
      </c>
    </row>
    <row r="2">
      <c r="A2" s="2" t="inlineStr">
        <is>
          <t>Ce classeur fonctionne dans Excel, Google Sheets et LibreOffice. Prospecteur 2.0 le met à jour pour vous ; vous pouvez aussi le modifier à la main.</t>
        </is>
      </c>
    </row>
    <row r="3">
      <c r="A3" s="2" t="inlineStr"/>
    </row>
    <row r="4">
      <c r="A4" s="3" t="inlineStr">
        <is>
          <t>Les feuilles</t>
        </is>
      </c>
    </row>
    <row r="5">
      <c r="A5" s="2" t="inlineStr">
        <is>
          <t>Prospects : une ligne par entreprise. L'ID (P-0001...) ne change jamais. Rouge = action en retard, jaune = action prévue aujourd'hui, gris = ne plus contacter ou refus définitif, vert = client gagné.</t>
        </is>
      </c>
    </row>
    <row r="6">
      <c r="A6" s="2" t="inlineStr">
        <is>
          <t>Historique : une ligne par interaction. On n'efface jamais une ligne : l'historique complet reste disponible.</t>
        </is>
      </c>
    </row>
    <row r="7">
      <c r="A7" s="2" t="inlineStr">
        <is>
          <t>Tableau de bord : les indicateurs du mois se calculent seuls. La période se règle dans Paramètres.</t>
        </is>
      </c>
    </row>
    <row r="8">
      <c r="A8" s="2" t="inlineStr">
        <is>
          <t>Planification : la liste des actions en retard, du jour, de la semaine et du mois (régénérée par Prospecteur 2.0).</t>
        </is>
      </c>
    </row>
    <row r="9">
      <c r="A9" s="2" t="inlineStr">
        <is>
          <t>Paramètres : cellules jaunes modifiables (objectifs, délais de relance, jours de prospection, congés). Ne pas renommer les en-têtes.</t>
        </is>
      </c>
    </row>
    <row r="10">
      <c r="A10" s="2" t="inlineStr">
        <is>
          <t>Non-contact : toute personne ou entreprise qui a demandé à ne plus être contactée. Ne jamais supprimer une ligne de cette feuille.</t>
        </is>
      </c>
    </row>
    <row r="11">
      <c r="A11" s="2" t="inlineStr"/>
    </row>
    <row r="12">
      <c r="A12" s="3" t="inlineStr">
        <is>
          <t>Règles d'or</t>
        </is>
      </c>
    </row>
    <row r="13">
      <c r="A13" s="2" t="inlineStr">
        <is>
          <t>1. Une entreprise = une seule ligne. Avant d'ajouter, chercher si elle existe déjà.</t>
        </is>
      </c>
    </row>
    <row r="14">
      <c r="A14" s="2" t="inlineStr">
        <is>
          <t>2. Une entreprise recherchée n'est pas une entreprise contactée : seule la date du premier contact compte pour l'objectif.</t>
        </is>
      </c>
    </row>
    <row r="15">
      <c r="A15" s="2" t="inlineStr">
        <is>
          <t>3. Chaque prospect ouvert a une prochaine action et une date. Un dossier fermé n'en a pas.</t>
        </is>
      </c>
    </row>
    <row r="16">
      <c r="A16" s="2" t="inlineStr">
        <is>
          <t>4. Une demande de non-contact est respectée immédiatement et pour toujours.</t>
        </is>
      </c>
    </row>
    <row r="17">
      <c r="A17" s="2" t="inlineStr"/>
    </row>
    <row r="18">
      <c r="A18" s="3" t="inlineStr">
        <is>
          <t>Exemple de ligne Prospects (format attendu, fictif, ne pas recopier tel quel)</t>
        </is>
      </c>
    </row>
    <row r="19">
      <c r="A19" s="4" t="inlineStr">
        <is>
          <t>ID : P-0001</t>
        </is>
      </c>
    </row>
    <row r="20">
      <c r="A20" s="4" t="inlineStr">
        <is>
          <t>Entreprise : Garage Exemple Auto (fictif)</t>
        </is>
      </c>
    </row>
    <row r="21">
      <c r="A21" s="4" t="inlineStr">
        <is>
          <t>Site web : garage-exemple.ca</t>
        </is>
      </c>
    </row>
    <row r="22">
      <c r="A22" s="4" t="inlineStr">
        <is>
          <t>Secteur d'activité : Réparation automobile</t>
        </is>
      </c>
    </row>
    <row r="23">
      <c r="A23" s="4" t="inlineStr">
        <is>
          <t>Ville et région : Québec, Capitale-Nationale</t>
        </is>
      </c>
    </row>
    <row r="24">
      <c r="A24" s="4" t="inlineStr">
        <is>
          <t>Contact professionnel : Marie Exemple</t>
        </is>
      </c>
    </row>
    <row r="25">
      <c r="A25" s="4" t="inlineStr">
        <is>
          <t>Fonction : Propriétaire</t>
        </is>
      </c>
    </row>
    <row r="26">
      <c r="A26" s="4" t="inlineStr">
        <is>
          <t>Courriel professionnel : info@garage-exemple.ca</t>
        </is>
      </c>
    </row>
    <row r="27">
      <c r="A27" s="4" t="inlineStr">
        <is>
          <t>Téléphone professionnel : 418 555-0100</t>
        </is>
      </c>
    </row>
    <row r="28">
      <c r="A28" s="4" t="inlineStr">
        <is>
          <t>Source : Google Maps</t>
        </is>
      </c>
    </row>
    <row r="29">
      <c r="A29" s="4" t="inlineStr">
        <is>
          <t>Date d'identification : 2026-10-08</t>
        </is>
      </c>
    </row>
    <row r="30">
      <c r="A30" s="4" t="inlineStr">
        <is>
          <t>Objectif commercial : Obtenir un appel de 15 min pour proposer un site avec prise de rendez-vous</t>
        </is>
      </c>
    </row>
    <row r="31">
      <c r="A31" s="4" t="inlineStr">
        <is>
          <t>Besoin ou problème observé : Pas de prise de rendez-vous en ligne (vérifié le 2026-10-08)</t>
        </is>
      </c>
    </row>
    <row r="32">
      <c r="A32" s="4" t="inlineStr">
        <is>
          <t>Service recommandé : Refonte de site + prise de rendez-vous</t>
        </is>
      </c>
    </row>
    <row r="33">
      <c r="A33" s="4" t="inlineStr">
        <is>
          <t>Priorité : A - Haute</t>
        </is>
      </c>
    </row>
    <row r="34">
      <c r="A34" s="4" t="inlineStr">
        <is>
          <t>Score de qualification : 72</t>
        </is>
      </c>
    </row>
    <row r="35">
      <c r="A35" s="4" t="inlineStr">
        <is>
          <t>Statut commercial : Prêt à contacter</t>
        </is>
      </c>
    </row>
    <row r="36">
      <c r="A36" s="4" t="inlineStr">
        <is>
          <t xml:space="preserve">Date du premier contact : </t>
        </is>
      </c>
    </row>
    <row r="37">
      <c r="A37" s="4" t="inlineStr">
        <is>
          <t xml:space="preserve">Date du dernier contact : </t>
        </is>
      </c>
    </row>
    <row r="38">
      <c r="A38" s="4" t="inlineStr">
        <is>
          <t xml:space="preserve">Date de première réponse : </t>
        </is>
      </c>
    </row>
    <row r="39">
      <c r="A39" s="4" t="inlineStr">
        <is>
          <t xml:space="preserve">Canal du dernier contact : </t>
        </is>
      </c>
    </row>
    <row r="40">
      <c r="A40" s="4" t="inlineStr">
        <is>
          <t>Prochaine action : Envoyer le premier courriel</t>
        </is>
      </c>
    </row>
    <row r="41">
      <c r="A41" s="4" t="inlineStr">
        <is>
          <t>Date de prochaine action : 2026-10-09</t>
        </is>
      </c>
    </row>
    <row r="42">
      <c r="A42" s="4" t="inlineStr">
        <is>
          <t>Nombre de contacts : 0</t>
        </is>
      </c>
    </row>
    <row r="43">
      <c r="A43" s="4" t="inlineStr">
        <is>
          <t xml:space="preserve">Objections rencontrées : </t>
        </is>
      </c>
    </row>
    <row r="44">
      <c r="A44" s="4" t="inlineStr">
        <is>
          <t>Base de consentement : Publication visible (adresse d'affaires publiée)</t>
        </is>
      </c>
    </row>
    <row r="45">
      <c r="A45" s="4" t="inlineStr">
        <is>
          <t>Valeur potentielle ($) : 2500</t>
        </is>
      </c>
    </row>
    <row r="46">
      <c r="A46" s="4" t="inlineStr">
        <is>
          <t xml:space="preserve">Résultat final : </t>
        </is>
      </c>
    </row>
    <row r="47">
      <c r="A47" s="4" t="inlineStr">
        <is>
          <t xml:space="preserve">Motif de perte ou de refus : </t>
        </is>
      </c>
    </row>
    <row r="48">
      <c r="A48" s="4" t="inlineStr">
        <is>
          <t xml:space="preserve">Notes :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6" customWidth="1" min="3" max="3"/>
    <col width="22" customWidth="1" min="4" max="4"/>
    <col width="19" customWidth="1" min="5" max="5"/>
    <col width="25" customWidth="1" min="6" max="6"/>
    <col width="12" customWidth="1" min="7" max="7"/>
    <col width="26" customWidth="1" min="8" max="8"/>
    <col width="27" customWidth="1" min="9" max="9"/>
    <col width="12" customWidth="1" min="10" max="10"/>
    <col width="25" customWidth="1" min="11" max="11"/>
    <col width="36" customWidth="1" min="12" max="12"/>
    <col width="40" customWidth="1" min="13" max="13"/>
    <col width="22" customWidth="1" min="14" max="14"/>
    <col width="12" customWidth="1" min="15" max="15"/>
    <col width="26" customWidth="1" min="16" max="16"/>
    <col width="26" customWidth="1" min="17" max="17"/>
    <col width="27" customWidth="1" min="18" max="18"/>
    <col width="27" customWidth="1" min="19" max="19"/>
    <col width="28" customWidth="1" min="20" max="20"/>
    <col width="28" customWidth="1" min="21" max="21"/>
    <col width="34" customWidth="1" min="22" max="22"/>
    <col width="28" customWidth="1" min="23" max="23"/>
    <col width="22" customWidth="1" min="24" max="24"/>
    <col width="30" customWidth="1" min="25" max="25"/>
    <col width="30" customWidth="1" min="26" max="26"/>
    <col width="26" customWidth="1" min="27" max="27"/>
    <col width="18" customWidth="1" min="28" max="28"/>
    <col width="30" customWidth="1" min="29" max="29"/>
    <col width="40" customWidth="1" min="30" max="30"/>
  </cols>
  <sheetData>
    <row r="1" ht="34" customHeight="1">
      <c r="A1" s="5" t="inlineStr">
        <is>
          <t>ID</t>
        </is>
      </c>
      <c r="B1" s="5" t="inlineStr">
        <is>
          <t>Entreprise</t>
        </is>
      </c>
      <c r="C1" s="5" t="inlineStr">
        <is>
          <t>Site web</t>
        </is>
      </c>
      <c r="D1" s="5" t="inlineStr">
        <is>
          <t>Secteur d'activité</t>
        </is>
      </c>
      <c r="E1" s="5" t="inlineStr">
        <is>
          <t>Ville et région</t>
        </is>
      </c>
      <c r="F1" s="5" t="inlineStr">
        <is>
          <t>Contact professionnel</t>
        </is>
      </c>
      <c r="G1" s="5" t="inlineStr">
        <is>
          <t>Fonction</t>
        </is>
      </c>
      <c r="H1" s="5" t="inlineStr">
        <is>
          <t>Courriel professionnel</t>
        </is>
      </c>
      <c r="I1" s="5" t="inlineStr">
        <is>
          <t>Téléphone professionnel</t>
        </is>
      </c>
      <c r="J1" s="5" t="inlineStr">
        <is>
          <t>Source</t>
        </is>
      </c>
      <c r="K1" s="5" t="inlineStr">
        <is>
          <t>Date d'identification</t>
        </is>
      </c>
      <c r="L1" s="5" t="inlineStr">
        <is>
          <t>Objectif commercial</t>
        </is>
      </c>
      <c r="M1" s="5" t="inlineStr">
        <is>
          <t>Besoin ou problème observé</t>
        </is>
      </c>
      <c r="N1" s="5" t="inlineStr">
        <is>
          <t>Service recommandé</t>
        </is>
      </c>
      <c r="O1" s="5" t="inlineStr">
        <is>
          <t>Priorité</t>
        </is>
      </c>
      <c r="P1" s="5" t="inlineStr">
        <is>
          <t>Score de qualification</t>
        </is>
      </c>
      <c r="Q1" s="5" t="inlineStr">
        <is>
          <t>Statut commercial</t>
        </is>
      </c>
      <c r="R1" s="5" t="inlineStr">
        <is>
          <t>Date du premier contact</t>
        </is>
      </c>
      <c r="S1" s="5" t="inlineStr">
        <is>
          <t>Date du dernier contact</t>
        </is>
      </c>
      <c r="T1" s="5" t="inlineStr">
        <is>
          <t>Date de première réponse</t>
        </is>
      </c>
      <c r="U1" s="5" t="inlineStr">
        <is>
          <t>Canal du dernier contact</t>
        </is>
      </c>
      <c r="V1" s="5" t="inlineStr">
        <is>
          <t>Prochaine action</t>
        </is>
      </c>
      <c r="W1" s="5" t="inlineStr">
        <is>
          <t>Date de prochaine action</t>
        </is>
      </c>
      <c r="X1" s="5" t="inlineStr">
        <is>
          <t>Nombre de contacts</t>
        </is>
      </c>
      <c r="Y1" s="5" t="inlineStr">
        <is>
          <t>Objections rencontrées</t>
        </is>
      </c>
      <c r="Z1" s="5" t="inlineStr">
        <is>
          <t>Base de consentement</t>
        </is>
      </c>
      <c r="AA1" s="5" t="inlineStr">
        <is>
          <t>Valeur potentielle ($)</t>
        </is>
      </c>
      <c r="AB1" s="5" t="inlineStr">
        <is>
          <t>Résultat final</t>
        </is>
      </c>
      <c r="AC1" s="5" t="inlineStr">
        <is>
          <t>Motif de perte ou de refus</t>
        </is>
      </c>
      <c r="AD1" s="5" t="inlineStr">
        <is>
          <t>Notes</t>
        </is>
      </c>
    </row>
  </sheetData>
  <autoFilter ref="A1:AD10000"/>
  <conditionalFormatting sqref="A2:AD10000">
    <cfRule type="expression" priority="1" dxfId="0" stopIfTrue="1">
      <formula>OR($Q2="Ne plus contacter",$Q2="Refus définitif")</formula>
    </cfRule>
    <cfRule type="expression" priority="2" dxfId="1" stopIfTrue="1">
      <formula>$Q2="Client gagné"</formula>
    </cfRule>
    <cfRule type="expression" priority="3" dxfId="2" stopIfTrue="1">
      <formula>AND($W2&lt;&gt;"",$W2&lt;TODAY(),COUNTIFS('Paramètres'!$A$2:$A$40,$Q2,'Paramètres'!$C$2:$C$40,"Oui")&gt;0)</formula>
    </cfRule>
    <cfRule type="expression" priority="4" dxfId="3" stopIfTrue="1">
      <formula>AND($W2=TODAY(),COUNTIFS('Paramètres'!$A$2:$A$40,$Q2,'Paramètres'!$C$2:$C$40,"Oui")&gt;0)</formula>
    </cfRule>
  </conditionalFormatting>
  <dataValidations count="11">
    <dataValidation sqref="Q2:Q10000" showDropDown="0" showInputMessage="0" showErrorMessage="1" allowBlank="1" errorTitle="Valeur non prévue" error="Choisir une valeur de la liste (feuille Paramètres)." type="list">
      <formula1>='Paramètres'!$A$2:$A$31</formula1>
    </dataValidation>
    <dataValidation sqref="O2:O10000" showDropDown="0" showInputMessage="0" showErrorMessage="1" allowBlank="1" errorTitle="Valeur non prévue" error="Choisir une valeur de la liste (feuille Paramètres)." type="list">
      <formula1>='Paramètres'!$J$2:$J$4</formula1>
    </dataValidation>
    <dataValidation sqref="J2:J10000" showDropDown="0" showInputMessage="0" showErrorMessage="1" allowBlank="1" errorTitle="Valeur non prévue" error="Choisir une valeur de la liste (feuille Paramètres)." type="list">
      <formula1>='Paramètres'!$K$2:$K$16</formula1>
    </dataValidation>
    <dataValidation sqref="U2:U10000" showDropDown="0" showInputMessage="0" showErrorMessage="1" allowBlank="1" errorTitle="Valeur non prévue" error="Choisir une valeur de la liste (feuille Paramètres)." type="list">
      <formula1>='Paramètres'!$G$2:$G$15</formula1>
    </dataValidation>
    <dataValidation sqref="Z2:Z10000" showDropDown="0" showInputMessage="0" showErrorMessage="1" allowBlank="1" errorTitle="Valeur non prévue" error="Choisir une valeur de la liste (feuille Paramètres)." type="list">
      <formula1>='Paramètres'!$L$2:$L$10</formula1>
    </dataValidation>
    <dataValidation sqref="P2:P10000" showDropDown="0" showInputMessage="0" showErrorMessage="0" allowBlank="1" error="Score entre 0 et 100." type="whole" operator="between">
      <formula1>0</formula1>
      <formula2>100</formula2>
    </dataValidation>
    <dataValidation sqref="K2:K10000" showDropDown="0" showInputMessage="0" showErrorMessage="0" allowBlank="1" error="Saisir une date (AAAA-MM-JJ)." type="date" operator="greaterThan">
      <formula1>DATE(2000,1,1)</formula1>
    </dataValidation>
    <dataValidation sqref="R2:R10000" showDropDown="0" showInputMessage="0" showErrorMessage="0" allowBlank="1" error="Saisir une date (AAAA-MM-JJ)." type="date" operator="greaterThan">
      <formula1>DATE(2000,1,1)</formula1>
    </dataValidation>
    <dataValidation sqref="W2:W10000" showDropDown="0" showInputMessage="0" showErrorMessage="0" allowBlank="1" error="Saisir une date (AAAA-MM-JJ)." type="date" operator="greaterThan">
      <formula1>DATE(2000,1,1)</formula1>
    </dataValidation>
    <dataValidation sqref="T2:T10000" showDropDown="0" showInputMessage="0" showErrorMessage="0" allowBlank="1" error="Saisir une date (AAAA-MM-JJ)." type="date" operator="greaterThan">
      <formula1>DATE(2000,1,1)</formula1>
    </dataValidation>
    <dataValidation sqref="S2:S10000" showDropDown="0" showInputMessage="0" showErrorMessage="0" allowBlank="1" error="Saisir une date (AAAA-MM-JJ)." type="date" operator="greaterThan">
      <formula1>DATE(2000,1,1)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7" customWidth="1" min="3" max="3"/>
    <col width="12" customWidth="1" min="4" max="4"/>
    <col width="17" customWidth="1" min="5" max="5"/>
    <col width="50" customWidth="1" min="6" max="6"/>
    <col width="40" customWidth="1" min="7" max="7"/>
    <col width="13" customWidth="1" min="8" max="8"/>
    <col width="12" customWidth="1" min="9" max="9"/>
    <col width="30" customWidth="1" min="10" max="10"/>
    <col width="28" customWidth="1" min="11" max="11"/>
  </cols>
  <sheetData>
    <row r="1" ht="34" customHeight="1">
      <c r="A1" s="5" t="inlineStr">
        <is>
          <t>ID prospect</t>
        </is>
      </c>
      <c r="B1" s="5" t="inlineStr">
        <is>
          <t>Entreprise</t>
        </is>
      </c>
      <c r="C1" s="5" t="inlineStr">
        <is>
          <t>Date et heure</t>
        </is>
      </c>
      <c r="D1" s="5" t="inlineStr">
        <is>
          <t>Canal</t>
        </is>
      </c>
      <c r="E1" s="5" t="inlineStr">
        <is>
          <t>Type d'action</t>
        </is>
      </c>
      <c r="F1" s="5" t="inlineStr">
        <is>
          <t>Résumé de l'échange</t>
        </is>
      </c>
      <c r="G1" s="5" t="inlineStr">
        <is>
          <t>Réponse reçue</t>
        </is>
      </c>
      <c r="H1" s="5" t="inlineStr">
        <is>
          <t>Objection</t>
        </is>
      </c>
      <c r="I1" s="5" t="inlineStr">
        <is>
          <t>Résultat</t>
        </is>
      </c>
      <c r="J1" s="5" t="inlineStr">
        <is>
          <t>Prochaine action</t>
        </is>
      </c>
      <c r="K1" s="5" t="inlineStr">
        <is>
          <t>Date de prochaine action</t>
        </is>
      </c>
    </row>
  </sheetData>
  <autoFilter ref="A1:K10000"/>
  <dataValidations count="3">
    <dataValidation sqref="D2:D10000" showDropDown="0" showInputMessage="0" showErrorMessage="0" allowBlank="1" type="list">
      <formula1>='Paramètres'!$G$2:$G$15</formula1>
    </dataValidation>
    <dataValidation sqref="E2:E10000" showDropDown="0" showInputMessage="0" showErrorMessage="0" allowBlank="1" type="list">
      <formula1>='Paramètres'!$H$2:$H$16</formula1>
    </dataValidation>
    <dataValidation sqref="I2:I10000" showDropDown="0" showInputMessage="0" showErrorMessage="0" allowBlank="1" type="list">
      <formula1>='Paramètres'!$I$2:$I$21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56" customWidth="1" min="3" max="3"/>
  </cols>
  <sheetData>
    <row r="1">
      <c r="A1" s="6" t="inlineStr">
        <is>
          <t>Tableau de bord</t>
        </is>
      </c>
      <c r="B1" s="7" t="n"/>
      <c r="C1" s="7" t="n"/>
      <c r="D1" s="7" t="n"/>
    </row>
    <row r="2">
      <c r="A2" s="7" t="inlineStr">
        <is>
          <t>Période suivie :</t>
        </is>
      </c>
      <c r="B2" s="8">
        <f>'Paramètres'!$O$7</f>
        <v/>
      </c>
      <c r="C2" s="8">
        <f>EOMONTH(B2,0)</f>
        <v/>
      </c>
      <c r="D2" s="7" t="inlineStr">
        <is>
          <t>(premier jour modifiable dans Paramètres)</t>
        </is>
      </c>
    </row>
    <row r="3">
      <c r="A3" s="7" t="n"/>
      <c r="B3" s="7" t="n"/>
      <c r="C3" s="7" t="n"/>
      <c r="D3" s="7" t="n"/>
    </row>
    <row r="4">
      <c r="A4" s="9" t="inlineStr">
        <is>
          <t>OBJECTIFS DU MOIS</t>
        </is>
      </c>
      <c r="B4" s="7" t="n"/>
      <c r="C4" s="7" t="n"/>
      <c r="D4" s="7" t="n"/>
    </row>
    <row r="5">
      <c r="A5" s="10" t="inlineStr">
        <is>
          <t>Objectif mensuel de premiers contacts</t>
        </is>
      </c>
      <c r="B5" s="11">
        <f>'Paramètres'!$O$2</f>
        <v/>
      </c>
      <c r="C5" s="12" t="inlineStr">
        <is>
          <t>Réglable dans Paramètres</t>
        </is>
      </c>
      <c r="D5" s="7" t="n"/>
    </row>
    <row r="6">
      <c r="A6" s="10" t="inlineStr">
        <is>
          <t>Objectif mensuel de rendez-vous</t>
        </is>
      </c>
      <c r="B6" s="11">
        <f>'Paramètres'!$O$3</f>
        <v/>
      </c>
      <c r="C6" s="12" t="inlineStr"/>
      <c r="D6" s="7" t="n"/>
    </row>
    <row r="7">
      <c r="A7" s="10" t="inlineStr">
        <is>
          <t>Objectif mensuel de propositions</t>
        </is>
      </c>
      <c r="B7" s="11">
        <f>'Paramètres'!$O$4</f>
        <v/>
      </c>
      <c r="C7" s="12" t="inlineStr"/>
      <c r="D7" s="7" t="n"/>
    </row>
    <row r="8">
      <c r="A8" s="10" t="inlineStr">
        <is>
          <t>Objectif mensuel de ventes</t>
        </is>
      </c>
      <c r="B8" s="11">
        <f>'Paramètres'!$O$5</f>
        <v/>
      </c>
      <c r="C8" s="12" t="inlineStr"/>
      <c r="D8" s="7" t="n"/>
    </row>
    <row r="9">
      <c r="A9" s="9" t="inlineStr">
        <is>
          <t>ACTIVITÉ DU MOIS</t>
        </is>
      </c>
      <c r="B9" s="7" t="n"/>
      <c r="C9" s="7" t="n"/>
      <c r="D9" s="7" t="n"/>
    </row>
    <row r="10">
      <c r="A10" s="10" t="inlineStr">
        <is>
          <t>Nouveaux prospects identifiés</t>
        </is>
      </c>
      <c r="B10" s="11">
        <f>COUNTIFS('Prospects'!$K$2:$K$10000,"&gt;="&amp;$B$2,'Prospects'!$K$2:$K$10000,"&lt;"&amp;($C$2+1))</f>
        <v/>
      </c>
      <c r="C10" s="12" t="inlineStr">
        <is>
          <t>Recherchés, pas forcément contactés</t>
        </is>
      </c>
      <c r="D10" s="7" t="n"/>
    </row>
    <row r="11">
      <c r="A11" s="10" t="inlineStr">
        <is>
          <t>Premiers contacts effectués</t>
        </is>
      </c>
      <c r="B11" s="11">
        <f>COUNTIFS('Prospects'!$R$2:$R$10000,"&gt;="&amp;$B$2,'Prospects'!$R$2:$R$10000,"&lt;"&amp;($C$2+1))</f>
        <v/>
      </c>
      <c r="C11" s="12" t="inlineStr">
        <is>
          <t>Seul ce chiffre compte pour l'objectif de contacts</t>
        </is>
      </c>
      <c r="D11" s="7" t="n"/>
    </row>
    <row r="12">
      <c r="A12" s="10" t="inlineStr">
        <is>
          <t>Relances réalisées</t>
        </is>
      </c>
      <c r="B12" s="11">
        <f>COUNTIFS('Historique'!$C$2:$C$10000,"&gt;="&amp;$B$2,'Historique'!$C$2:$C$10000,"&lt;"&amp;($C$2+1),'Historique'!$E$2:$E$10000,"Relance")</f>
        <v/>
      </c>
      <c r="C12" s="12" t="inlineStr"/>
      <c r="D12" s="7" t="n"/>
    </row>
    <row r="13">
      <c r="A13" s="10" t="inlineStr">
        <is>
          <t>Prospects ayant répondu</t>
        </is>
      </c>
      <c r="B13" s="11">
        <f>COUNTIFS('Prospects'!$T$2:$T$10000,"&gt;="&amp;$B$2,'Prospects'!$T$2:$T$10000,"&lt;"&amp;($C$2+1))</f>
        <v/>
      </c>
      <c r="C13" s="12" t="inlineStr">
        <is>
          <t>Première réponse de chaque prospect, comptée une seule fois</t>
        </is>
      </c>
      <c r="D13" s="7" t="n"/>
    </row>
    <row r="14">
      <c r="A14" s="10" t="inlineStr">
        <is>
          <t>Rendez-vous obtenus</t>
        </is>
      </c>
      <c r="B14" s="11">
        <f>COUNTIFS('Historique'!$C$2:$C$10000,"&gt;="&amp;$B$2,'Historique'!$C$2:$C$10000,"&lt;"&amp;($C$2+1),'Historique'!$I$2:$I$10000,"Rendez-vous obtenu")</f>
        <v/>
      </c>
      <c r="C14" s="12" t="inlineStr"/>
      <c r="D14" s="7" t="n"/>
    </row>
    <row r="15">
      <c r="A15" s="10" t="inlineStr">
        <is>
          <t>Propositions envoyées</t>
        </is>
      </c>
      <c r="B15" s="11">
        <f>COUNTIFS('Historique'!$C$2:$C$10000,"&gt;="&amp;$B$2,'Historique'!$C$2:$C$10000,"&lt;"&amp;($C$2+1),'Historique'!$I$2:$I$10000,"Proposition envoyée")</f>
        <v/>
      </c>
      <c r="C15" s="12" t="inlineStr"/>
      <c r="D15" s="7" t="n"/>
    </row>
    <row r="16">
      <c r="A16" s="10" t="inlineStr">
        <is>
          <t>Clients gagnés</t>
        </is>
      </c>
      <c r="B16" s="11">
        <f>COUNTIFS('Historique'!$C$2:$C$10000,"&gt;="&amp;$B$2,'Historique'!$C$2:$C$10000,"&lt;"&amp;($C$2+1),'Historique'!$I$2:$I$10000,"Vente conclue")</f>
        <v/>
      </c>
      <c r="C16" s="12" t="inlineStr"/>
      <c r="D16" s="7" t="n"/>
    </row>
    <row r="17">
      <c r="A17" s="10" t="inlineStr">
        <is>
          <t>Refus définitifs et demandes de non-contact</t>
        </is>
      </c>
      <c r="B17" s="11">
        <f>COUNTIFS('Historique'!$C$2:$C$10000,"&gt;="&amp;$B$2,'Historique'!$C$2:$C$10000,"&lt;"&amp;($C$2+1),'Historique'!$I$2:$I$10000,"Refus définitif")+COUNTIFS('Historique'!$C$2:$C$10000,"&gt;="&amp;$B$2,'Historique'!$C$2:$C$10000,"&lt;"&amp;($C$2+1),'Historique'!$I$2:$I$10000,"Demande de non-contact")</f>
        <v/>
      </c>
      <c r="C17" s="12" t="inlineStr"/>
      <c r="D17" s="7" t="n"/>
    </row>
    <row r="18">
      <c r="A18" s="10" t="inlineStr">
        <is>
          <t>Chiffre d'affaires signé ($)</t>
        </is>
      </c>
      <c r="B18" s="13">
        <f>SUMIFS('Prospects'!$AA$2:$AA$10000,'Prospects'!$Q$2:$Q$10000,"Client gagné",'Prospects'!$S$2:$S$10000,"&gt;="&amp;$B$2,'Prospects'!$S$2:$S$10000,"&lt;"&amp;($C$2+1))</f>
        <v/>
      </c>
      <c r="C18" s="12" t="inlineStr">
        <is>
          <t>Valeur des dossiers gagnés ce mois-ci, si elle est saisie</t>
        </is>
      </c>
      <c r="D18" s="7" t="n"/>
    </row>
    <row r="19">
      <c r="A19" s="9" t="inlineStr">
        <is>
          <t>TAUX DU MOIS</t>
        </is>
      </c>
      <c r="B19" s="7" t="n"/>
      <c r="C19" s="7" t="n"/>
      <c r="D19" s="7" t="n"/>
    </row>
    <row r="20">
      <c r="A20" s="10" t="inlineStr">
        <is>
          <t>Taux de réponse</t>
        </is>
      </c>
      <c r="B20" s="14">
        <f>IFERROR($B$13/$B$11,0)</f>
        <v/>
      </c>
      <c r="C20" s="12" t="inlineStr">
        <is>
          <t>Prospects ayant répondu / premiers contacts du mois (approximation)</t>
        </is>
      </c>
      <c r="D20" s="7" t="n"/>
    </row>
    <row r="21">
      <c r="A21" s="10" t="inlineStr">
        <is>
          <t>Taux de rendez-vous</t>
        </is>
      </c>
      <c r="B21" s="14">
        <f>IFERROR($B$14/$B$11,0)</f>
        <v/>
      </c>
      <c r="C21" s="12" t="inlineStr">
        <is>
          <t>Rendez-vous / premiers contacts</t>
        </is>
      </c>
      <c r="D21" s="7" t="n"/>
    </row>
    <row r="22">
      <c r="A22" s="10" t="inlineStr">
        <is>
          <t>Taux de conversion</t>
        </is>
      </c>
      <c r="B22" s="14">
        <f>IFERROR($B$16/$B$11,0)</f>
        <v/>
      </c>
      <c r="C22" s="12" t="inlineStr">
        <is>
          <t>Ventes / premiers contacts</t>
        </is>
      </c>
      <c r="D22" s="7" t="n"/>
    </row>
    <row r="23">
      <c r="A23" s="10" t="inlineStr">
        <is>
          <t>Réalisation de l'objectif de contacts</t>
        </is>
      </c>
      <c r="B23" s="14">
        <f>IFERROR($B$11/$B$5,0)</f>
        <v/>
      </c>
      <c r="C23" s="12" t="inlineStr"/>
      <c r="D23" s="7" t="n"/>
    </row>
    <row r="24">
      <c r="A24" s="9" t="inlineStr">
        <is>
          <t>PIPELINE ET RETARDS (EN CE MOMENT)</t>
        </is>
      </c>
      <c r="B24" s="7" t="n"/>
      <c r="C24" s="7" t="n"/>
      <c r="D24" s="7" t="n"/>
    </row>
    <row r="25">
      <c r="A25" s="10" t="inlineStr">
        <is>
          <t>Prospects dans le CRM</t>
        </is>
      </c>
      <c r="B25" s="11">
        <f>COUNTA('Prospects'!$A$2:$A$10000)</f>
        <v/>
      </c>
      <c r="C25" s="12" t="inlineStr"/>
      <c r="D25" s="7" t="n"/>
    </row>
    <row r="26">
      <c r="A26" s="10" t="inlineStr">
        <is>
          <t>Prospects réellement contactés</t>
        </is>
      </c>
      <c r="B26" s="11">
        <f>COUNTIF('Prospects'!$X$2:$X$10000,"&gt;0")</f>
        <v/>
      </c>
      <c r="C26" s="12" t="inlineStr">
        <is>
          <t>Un prospect recherché n'est pas un prospect contacté</t>
        </is>
      </c>
      <c r="D26" s="7" t="n"/>
    </row>
    <row r="27">
      <c r="A27" s="10" t="inlineStr">
        <is>
          <t>Prospects qualifiés ou plus</t>
        </is>
      </c>
      <c r="B27" s="11">
        <f>SUMPRODUCT(COUNTIFS('Paramètres'!$A$2:$A$40,'Prospects'!$Q$2:$Q$10000,'Paramètres'!$D$2:$D$40,"Oui"))</f>
        <v/>
      </c>
      <c r="C27" s="12" t="inlineStr"/>
      <c r="D27" s="7" t="n"/>
    </row>
    <row r="28">
      <c r="A28" s="10" t="inlineStr">
        <is>
          <t>Valeur du pipeline ($)</t>
        </is>
      </c>
      <c r="B28" s="13">
        <f>SUMPRODUCT(--(COUNTIFS('Paramètres'!$A$2:$A$40,'Prospects'!$Q$2:$Q$10000,'Paramètres'!$E$2:$E$40,"Oui")&gt;0),'Prospects'!$AA$2:$AA$10000)</f>
        <v/>
      </c>
      <c r="C28" s="12" t="inlineStr">
        <is>
          <t>Dossiers contactés et encore ouverts</t>
        </is>
      </c>
      <c r="D28" s="7" t="n"/>
    </row>
    <row r="29">
      <c r="A29" s="10" t="inlineStr">
        <is>
          <t>Actions en retard</t>
        </is>
      </c>
      <c r="B29" s="11">
        <f>SUMPRODUCT(('Prospects'!$W$2:$W$10000&lt;&gt;"")*('Prospects'!$W$2:$W$10000&lt;TODAY())*(COUNTIFS('Paramètres'!$A$2:$A$40,'Prospects'!$Q$2:$Q$10000,'Paramètres'!$C$2:$C$40,"Oui")&gt;0))</f>
        <v/>
      </c>
      <c r="C29" s="12" t="inlineStr">
        <is>
          <t>Dossiers ouverts dont la date d'action est passée</t>
        </is>
      </c>
      <c r="D29" s="7" t="n"/>
    </row>
    <row r="30">
      <c r="A30" s="10" t="inlineStr">
        <is>
          <t>Actions prévues aujourd'hui</t>
        </is>
      </c>
      <c r="B30" s="11">
        <f>SUMPRODUCT(('Prospects'!$W$2:$W$10000=TODAY())*(COUNTIFS('Paramètres'!$A$2:$A$40,'Prospects'!$Q$2:$Q$10000,'Paramètres'!$C$2:$C$40,"Oui")&gt;0))</f>
        <v/>
      </c>
      <c r="C30" s="12" t="inlineStr">
        <is>
          <t>Relances et rendez-vous du jour</t>
        </is>
      </c>
      <c r="D30" s="7" t="n"/>
    </row>
    <row r="31">
      <c r="A31" s="9" t="inlineStr">
        <is>
          <t>RYTHME</t>
        </is>
      </c>
      <c r="B31" s="7" t="n"/>
      <c r="C31" s="7" t="n"/>
      <c r="D31" s="7" t="n"/>
    </row>
    <row r="32">
      <c r="A32" s="10" t="inlineStr">
        <is>
          <t>Jours de prospection restants (aujourd'hui inclus)</t>
        </is>
      </c>
      <c r="B32" s="11">
        <f>SUMPRODUCT((($B$2+ROW($1:$31)-1)&gt;=MAX(TODAY(),$B$2))*(($B$2+ROW($1:$31)-1)&lt;=$C$2)*(MID($B$35,WEEKDAY(($B$2+ROW($1:$31)-1),2),1)="0")*(COUNTIF('Paramètres'!$U$2:$U$60,($B$2+ROW($1:$31)-1))=0))</f>
        <v/>
      </c>
      <c r="C32" s="12" t="inlineStr">
        <is>
          <t>Selon les jours actifs et les congés de Paramètres</t>
        </is>
      </c>
      <c r="D32" s="7" t="n"/>
    </row>
    <row r="33">
      <c r="A33" s="10" t="inlineStr">
        <is>
          <t>Premiers contacts encore nécessaires</t>
        </is>
      </c>
      <c r="B33" s="11">
        <f>MAX(0,$B$5-$B$11)</f>
        <v/>
      </c>
      <c r="C33" s="12" t="inlineStr"/>
      <c r="D33" s="7" t="n"/>
    </row>
    <row r="34">
      <c r="A34" s="10" t="inlineStr">
        <is>
          <t>Rythme nécessaire par jour de prospection</t>
        </is>
      </c>
      <c r="B34" s="11">
        <f>IF($B$32=0,$B$33,ROUNDUP($B$33/$B$32,0))</f>
        <v/>
      </c>
      <c r="C34" s="12" t="inlineStr">
        <is>
          <t>Plan de rattrapage détaillé : demander le bilan</t>
        </is>
      </c>
      <c r="D34" s="7" t="n"/>
    </row>
    <row r="35">
      <c r="A35" s="10" t="inlineStr">
        <is>
          <t>Code des jours non travaillés (technique)</t>
        </is>
      </c>
      <c r="B35" s="15">
        <f>IF('Paramètres'!$S$2="Oui","0","1")&amp;IF('Paramètres'!$S$3="Oui","0","1")&amp;IF('Paramètres'!$S$4="Oui","0","1")&amp;IF('Paramètres'!$S$5="Oui","0","1")&amp;IF('Paramètres'!$S$6="Oui","0","1")&amp;IF('Paramètres'!$S$7="Oui","0","1")&amp;IF('Paramètres'!$S$8="Oui","0","1")</f>
        <v/>
      </c>
      <c r="C35" s="12" t="inlineStr">
        <is>
          <t>Ne pas modifier</t>
        </is>
      </c>
      <c r="D35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Planification</t>
        </is>
      </c>
    </row>
    <row r="2">
      <c r="A2" s="16" t="inlineStr">
        <is>
          <t>Cette feuille est régénérée par Prospecteur 2.0 (commande « planifier »). Les couleurs de la feuille Prospects, elles, se mettent à jour seules.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4" customWidth="1" min="12" max="12"/>
    <col width="4" customWidth="1" min="13" max="13"/>
    <col width="44" customWidth="1" min="14" max="14"/>
    <col width="22" customWidth="1" min="15" max="15"/>
    <col width="46" customWidth="1" min="16" max="16"/>
    <col width="4" customWidth="1" min="17" max="17"/>
    <col width="22" customWidth="1" min="18" max="18"/>
    <col width="22" customWidth="1" min="19" max="19"/>
    <col width="4" customWidth="1" min="20" max="20"/>
    <col width="22" customWidth="1" min="21" max="21"/>
  </cols>
  <sheetData>
    <row r="1">
      <c r="A1" s="5" t="inlineStr">
        <is>
          <t>Statuts</t>
        </is>
      </c>
      <c r="B1" s="5" t="inlineStr">
        <is>
          <t>Phase</t>
        </is>
      </c>
      <c r="C1" s="5" t="inlineStr">
        <is>
          <t>Ouvert (Oui/Non)</t>
        </is>
      </c>
      <c r="D1" s="5" t="inlineStr">
        <is>
          <t>Qualifié ou plus (Oui/Non)</t>
        </is>
      </c>
      <c r="E1" s="5" t="inlineStr">
        <is>
          <t>Dans le pipeline (Oui/Non)</t>
        </is>
      </c>
      <c r="F1" s="7" t="n"/>
      <c r="G1" s="5" t="inlineStr">
        <is>
          <t>Canaux</t>
        </is>
      </c>
      <c r="H1" s="5" t="inlineStr">
        <is>
          <t>Types d'action</t>
        </is>
      </c>
      <c r="I1" s="5" t="inlineStr">
        <is>
          <t>Résultats</t>
        </is>
      </c>
      <c r="J1" s="5" t="inlineStr">
        <is>
          <t>Priorités</t>
        </is>
      </c>
      <c r="K1" s="5" t="inlineStr">
        <is>
          <t>Sources</t>
        </is>
      </c>
      <c r="L1" s="5" t="inlineStr">
        <is>
          <t>Bases de consentement</t>
        </is>
      </c>
      <c r="M1" s="7" t="n"/>
      <c r="N1" s="5" t="inlineStr">
        <is>
          <t>Réglage</t>
        </is>
      </c>
      <c r="O1" s="5" t="inlineStr">
        <is>
          <t>Valeur</t>
        </is>
      </c>
      <c r="P1" s="5" t="inlineStr">
        <is>
          <t>Note</t>
        </is>
      </c>
      <c r="Q1" s="7" t="n"/>
      <c r="R1" s="5" t="inlineStr">
        <is>
          <t>Jour de prospection</t>
        </is>
      </c>
      <c r="S1" s="5" t="inlineStr">
        <is>
          <t>Actif (Oui/Non)</t>
        </is>
      </c>
      <c r="T1" s="7" t="n"/>
      <c r="U1" s="5" t="inlineStr">
        <is>
          <t>Congés et jours fériés</t>
        </is>
      </c>
    </row>
    <row r="2">
      <c r="A2" s="7" t="inlineStr">
        <is>
          <t>Prospect identifié</t>
        </is>
      </c>
      <c r="B2" s="7" t="inlineStr">
        <is>
          <t>1. Préparation</t>
        </is>
      </c>
      <c r="C2" s="7" t="inlineStr">
        <is>
          <t>Oui</t>
        </is>
      </c>
      <c r="D2" s="7" t="inlineStr">
        <is>
          <t>Non</t>
        </is>
      </c>
      <c r="E2" s="7" t="inlineStr">
        <is>
          <t>Non</t>
        </is>
      </c>
      <c r="F2" s="7" t="n"/>
      <c r="G2" s="7" t="inlineStr">
        <is>
          <t>Courriel</t>
        </is>
      </c>
      <c r="H2" s="7" t="inlineStr">
        <is>
          <t>Recherche</t>
        </is>
      </c>
      <c r="I2" s="7" t="inlineStr">
        <is>
          <t>Pas de réponse</t>
        </is>
      </c>
      <c r="J2" s="7" t="inlineStr">
        <is>
          <t>A - Haute</t>
        </is>
      </c>
      <c r="K2" s="7" t="inlineStr">
        <is>
          <t>Recherche Google</t>
        </is>
      </c>
      <c r="L2" s="7" t="inlineStr">
        <is>
          <t>Publication visible (adresse d'affaires publiée)</t>
        </is>
      </c>
      <c r="M2" s="7" t="n"/>
      <c r="N2" s="7" t="inlineStr">
        <is>
          <t>Objectif mensuel - premiers contacts</t>
        </is>
      </c>
      <c r="O2" s="17" t="n">
        <v>100</v>
      </c>
      <c r="P2" s="7" t="inlineStr">
        <is>
          <t>Entreprises réellement contactées dans le mois</t>
        </is>
      </c>
      <c r="Q2" s="7" t="n"/>
      <c r="R2" s="7" t="inlineStr">
        <is>
          <t>Lundi</t>
        </is>
      </c>
      <c r="S2" s="17" t="inlineStr">
        <is>
          <t>Oui</t>
        </is>
      </c>
      <c r="T2" s="7" t="n"/>
      <c r="U2" s="18" t="n">
        <v>46023</v>
      </c>
    </row>
    <row r="3">
      <c r="A3" s="7" t="inlineStr">
        <is>
          <t>Informations à vérifier</t>
        </is>
      </c>
      <c r="B3" s="7" t="inlineStr">
        <is>
          <t>1. Préparation</t>
        </is>
      </c>
      <c r="C3" s="7" t="inlineStr">
        <is>
          <t>Oui</t>
        </is>
      </c>
      <c r="D3" s="7" t="inlineStr">
        <is>
          <t>Non</t>
        </is>
      </c>
      <c r="E3" s="7" t="inlineStr">
        <is>
          <t>Non</t>
        </is>
      </c>
      <c r="F3" s="7" t="n"/>
      <c r="G3" s="7" t="inlineStr">
        <is>
          <t>Téléphone</t>
        </is>
      </c>
      <c r="H3" s="7" t="inlineStr">
        <is>
          <t>Premier contact</t>
        </is>
      </c>
      <c r="I3" s="7" t="inlineStr">
        <is>
          <t>Réponse positive</t>
        </is>
      </c>
      <c r="J3" s="7" t="inlineStr">
        <is>
          <t>B - Moyenne</t>
        </is>
      </c>
      <c r="K3" s="7" t="inlineStr">
        <is>
          <t>Google Maps</t>
        </is>
      </c>
      <c r="L3" s="7" t="inlineStr">
        <is>
          <t>Carte ou adresse remise par la personne</t>
        </is>
      </c>
      <c r="M3" s="7" t="n"/>
      <c r="N3" s="7" t="inlineStr">
        <is>
          <t>Objectif mensuel - rendez-vous</t>
        </is>
      </c>
      <c r="O3" s="17" t="n">
        <v>10</v>
      </c>
      <c r="P3" s="7" t="inlineStr"/>
      <c r="Q3" s="7" t="n"/>
      <c r="R3" s="7" t="inlineStr">
        <is>
          <t>Mardi</t>
        </is>
      </c>
      <c r="S3" s="17" t="inlineStr">
        <is>
          <t>Oui</t>
        </is>
      </c>
      <c r="T3" s="7" t="n"/>
      <c r="U3" s="18" t="n">
        <v>46115</v>
      </c>
    </row>
    <row r="4">
      <c r="A4" s="7" t="inlineStr">
        <is>
          <t>Prospect qualifié</t>
        </is>
      </c>
      <c r="B4" s="7" t="inlineStr">
        <is>
          <t>1. Préparation</t>
        </is>
      </c>
      <c r="C4" s="7" t="inlineStr">
        <is>
          <t>Oui</t>
        </is>
      </c>
      <c r="D4" s="7" t="inlineStr">
        <is>
          <t>Oui</t>
        </is>
      </c>
      <c r="E4" s="7" t="inlineStr">
        <is>
          <t>Non</t>
        </is>
      </c>
      <c r="F4" s="7" t="n"/>
      <c r="G4" s="7" t="inlineStr">
        <is>
          <t>LinkedIn</t>
        </is>
      </c>
      <c r="H4" s="7" t="inlineStr">
        <is>
          <t>Relance</t>
        </is>
      </c>
      <c r="I4" s="7" t="inlineStr">
        <is>
          <t>Réponse neutre</t>
        </is>
      </c>
      <c r="J4" s="7" t="inlineStr">
        <is>
          <t>C - Basse</t>
        </is>
      </c>
      <c r="K4" s="7" t="inlineStr">
        <is>
          <t>Recommandation</t>
        </is>
      </c>
      <c r="L4" s="7" t="inlineStr">
        <is>
          <t>Relation d'affaires existante</t>
        </is>
      </c>
      <c r="M4" s="7" t="n"/>
      <c r="N4" s="7" t="inlineStr">
        <is>
          <t>Objectif mensuel - propositions</t>
        </is>
      </c>
      <c r="O4" s="17" t="n">
        <v>5</v>
      </c>
      <c r="P4" s="7" t="inlineStr"/>
      <c r="Q4" s="7" t="n"/>
      <c r="R4" s="7" t="inlineStr">
        <is>
          <t>Mercredi</t>
        </is>
      </c>
      <c r="S4" s="17" t="inlineStr">
        <is>
          <t>Oui</t>
        </is>
      </c>
      <c r="T4" s="7" t="n"/>
      <c r="U4" s="18" t="n">
        <v>46160</v>
      </c>
    </row>
    <row r="5">
      <c r="A5" s="7" t="inlineStr">
        <is>
          <t>Approche à préparer</t>
        </is>
      </c>
      <c r="B5" s="7" t="inlineStr">
        <is>
          <t>1. Préparation</t>
        </is>
      </c>
      <c r="C5" s="7" t="inlineStr">
        <is>
          <t>Oui</t>
        </is>
      </c>
      <c r="D5" s="7" t="inlineStr">
        <is>
          <t>Oui</t>
        </is>
      </c>
      <c r="E5" s="7" t="inlineStr">
        <is>
          <t>Non</t>
        </is>
      </c>
      <c r="F5" s="7" t="n"/>
      <c r="G5" s="7" t="inlineStr">
        <is>
          <t>Formulaire du site</t>
        </is>
      </c>
      <c r="H5" s="7" t="inlineStr">
        <is>
          <t>Réponse du prospect</t>
        </is>
      </c>
      <c r="I5" s="7" t="inlineStr">
        <is>
          <t>Réponse négative</t>
        </is>
      </c>
      <c r="J5" s="7" t="n"/>
      <c r="K5" s="7" t="inlineStr">
        <is>
          <t>LinkedIn</t>
        </is>
      </c>
      <c r="L5" s="7" t="inlineStr">
        <is>
          <t>Consentement exprès</t>
        </is>
      </c>
      <c r="M5" s="7" t="n"/>
      <c r="N5" s="7" t="inlineStr">
        <is>
          <t>Objectif mensuel - ventes</t>
        </is>
      </c>
      <c r="O5" s="17" t="n">
        <v>2</v>
      </c>
      <c r="P5" s="7" t="inlineStr"/>
      <c r="Q5" s="7" t="n"/>
      <c r="R5" s="7" t="inlineStr">
        <is>
          <t>Jeudi</t>
        </is>
      </c>
      <c r="S5" s="17" t="inlineStr">
        <is>
          <t>Oui</t>
        </is>
      </c>
      <c r="T5" s="7" t="n"/>
      <c r="U5" s="18" t="n">
        <v>46197</v>
      </c>
    </row>
    <row r="6">
      <c r="A6" s="7" t="inlineStr">
        <is>
          <t>Prêt à contacter</t>
        </is>
      </c>
      <c r="B6" s="7" t="inlineStr">
        <is>
          <t>2. Premier contact</t>
        </is>
      </c>
      <c r="C6" s="7" t="inlineStr">
        <is>
          <t>Oui</t>
        </is>
      </c>
      <c r="D6" s="7" t="inlineStr">
        <is>
          <t>Oui</t>
        </is>
      </c>
      <c r="E6" s="7" t="inlineStr">
        <is>
          <t>Non</t>
        </is>
      </c>
      <c r="F6" s="7" t="n"/>
      <c r="G6" s="7" t="inlineStr">
        <is>
          <t>En personne</t>
        </is>
      </c>
      <c r="H6" s="7" t="inlineStr">
        <is>
          <t>Appel</t>
        </is>
      </c>
      <c r="I6" s="7" t="inlineStr">
        <is>
          <t>Rendez-vous obtenu</t>
        </is>
      </c>
      <c r="J6" s="7" t="n"/>
      <c r="K6" s="7" t="inlineStr">
        <is>
          <t>Réseau personnel</t>
        </is>
      </c>
      <c r="L6" s="7" t="inlineStr">
        <is>
          <t>Appel B2B uniquement</t>
        </is>
      </c>
      <c r="M6" s="7" t="n"/>
      <c r="N6" s="7" t="inlineStr">
        <is>
          <t>Objectif mensuel - chiffre d'affaires ($)</t>
        </is>
      </c>
      <c r="O6" s="17" t="n">
        <v>4000</v>
      </c>
      <c r="P6" s="7" t="inlineStr"/>
      <c r="Q6" s="7" t="n"/>
      <c r="R6" s="7" t="inlineStr">
        <is>
          <t>Vendredi</t>
        </is>
      </c>
      <c r="S6" s="17" t="inlineStr">
        <is>
          <t>Oui</t>
        </is>
      </c>
      <c r="T6" s="7" t="n"/>
      <c r="U6" s="18" t="n">
        <v>46204</v>
      </c>
    </row>
    <row r="7">
      <c r="A7" s="7" t="inlineStr">
        <is>
          <t>Premier contact effectué</t>
        </is>
      </c>
      <c r="B7" s="7" t="inlineStr">
        <is>
          <t>2. Premier contact</t>
        </is>
      </c>
      <c r="C7" s="7" t="inlineStr">
        <is>
          <t>Oui</t>
        </is>
      </c>
      <c r="D7" s="7" t="inlineStr">
        <is>
          <t>Oui</t>
        </is>
      </c>
      <c r="E7" s="7" t="inlineStr">
        <is>
          <t>Oui</t>
        </is>
      </c>
      <c r="F7" s="7" t="n"/>
      <c r="G7" s="7" t="inlineStr">
        <is>
          <t>SMS</t>
        </is>
      </c>
      <c r="H7" s="7" t="inlineStr">
        <is>
          <t>Rendez-vous</t>
        </is>
      </c>
      <c r="I7" s="7" t="inlineStr">
        <is>
          <t>Rendez-vous tenu</t>
        </is>
      </c>
      <c r="J7" s="7" t="n"/>
      <c r="K7" s="7" t="inlineStr">
        <is>
          <t>Événement</t>
        </is>
      </c>
      <c r="L7" s="7" t="inlineStr">
        <is>
          <t>À vérifier</t>
        </is>
      </c>
      <c r="M7" s="7" t="n"/>
      <c r="N7" s="7" t="inlineStr">
        <is>
          <t>Premier jour du mois suivi</t>
        </is>
      </c>
      <c r="O7" s="18">
        <f>DATE(YEAR(TODAY()),MONTH(TODAY()),1)</f>
        <v/>
      </c>
      <c r="P7" s="7" t="inlineStr">
        <is>
          <t>Laisser la formule pour le mois en cours, ou saisir une date</t>
        </is>
      </c>
      <c r="Q7" s="7" t="n"/>
      <c r="R7" s="7" t="inlineStr">
        <is>
          <t>Samedi</t>
        </is>
      </c>
      <c r="S7" s="17" t="inlineStr">
        <is>
          <t>Non</t>
        </is>
      </c>
      <c r="T7" s="7" t="n"/>
      <c r="U7" s="18" t="n">
        <v>46272</v>
      </c>
    </row>
    <row r="8">
      <c r="A8" s="7" t="inlineStr">
        <is>
          <t>En attente de réponse</t>
        </is>
      </c>
      <c r="B8" s="7" t="inlineStr">
        <is>
          <t>3. Suivi initial</t>
        </is>
      </c>
      <c r="C8" s="7" t="inlineStr">
        <is>
          <t>Oui</t>
        </is>
      </c>
      <c r="D8" s="7" t="inlineStr">
        <is>
          <t>Oui</t>
        </is>
      </c>
      <c r="E8" s="7" t="inlineStr">
        <is>
          <t>Oui</t>
        </is>
      </c>
      <c r="F8" s="7" t="n"/>
      <c r="G8" s="7" t="inlineStr">
        <is>
          <t>Messagerie (Facebook, Instagram)</t>
        </is>
      </c>
      <c r="H8" s="7" t="inlineStr">
        <is>
          <t>Proposition envoyée</t>
        </is>
      </c>
      <c r="I8" s="7" t="inlineStr">
        <is>
          <t>Absent au rendez-vous</t>
        </is>
      </c>
      <c r="J8" s="7" t="n"/>
      <c r="K8" s="7" t="inlineStr">
        <is>
          <t>Annuaire</t>
        </is>
      </c>
      <c r="L8" s="7" t="n"/>
      <c r="M8" s="7" t="n"/>
      <c r="N8" s="7" t="inlineStr">
        <is>
          <t>Relance 1 (jours après le premier contact)</t>
        </is>
      </c>
      <c r="O8" s="17" t="n">
        <v>3</v>
      </c>
      <c r="P8" s="7" t="inlineStr"/>
      <c r="Q8" s="7" t="n"/>
      <c r="R8" s="7" t="inlineStr">
        <is>
          <t>Dimanche</t>
        </is>
      </c>
      <c r="S8" s="17" t="inlineStr">
        <is>
          <t>Non</t>
        </is>
      </c>
      <c r="T8" s="7" t="n"/>
      <c r="U8" s="18" t="n">
        <v>46307</v>
      </c>
    </row>
    <row r="9">
      <c r="A9" s="7" t="inlineStr">
        <is>
          <t>Relance à effectuer</t>
        </is>
      </c>
      <c r="B9" s="7" t="inlineStr">
        <is>
          <t>3. Suivi initial</t>
        </is>
      </c>
      <c r="C9" s="7" t="inlineStr">
        <is>
          <t>Oui</t>
        </is>
      </c>
      <c r="D9" s="7" t="inlineStr">
        <is>
          <t>Oui</t>
        </is>
      </c>
      <c r="E9" s="7" t="inlineStr">
        <is>
          <t>Oui</t>
        </is>
      </c>
      <c r="F9" s="7" t="n"/>
      <c r="G9" s="7" t="inlineStr">
        <is>
          <t>Visioconférence</t>
        </is>
      </c>
      <c r="H9" s="7" t="inlineStr">
        <is>
          <t>Négociation</t>
        </is>
      </c>
      <c r="I9" s="7" t="inlineStr">
        <is>
          <t>Devis demandé</t>
        </is>
      </c>
      <c r="J9" s="7" t="n"/>
      <c r="K9" s="7" t="inlineStr">
        <is>
          <t>Site web du prospect</t>
        </is>
      </c>
      <c r="L9" s="7" t="n"/>
      <c r="M9" s="7" t="n"/>
      <c r="N9" s="7" t="inlineStr">
        <is>
          <t>Relance 2 (jours après le premier contact)</t>
        </is>
      </c>
      <c r="O9" s="17" t="n">
        <v>7</v>
      </c>
      <c r="P9" s="7" t="inlineStr"/>
      <c r="Q9" s="7" t="n"/>
      <c r="R9" s="7" t="n"/>
      <c r="S9" s="7" t="n"/>
      <c r="T9" s="7" t="n"/>
      <c r="U9" s="18" t="n">
        <v>46381</v>
      </c>
    </row>
    <row r="10">
      <c r="A10" s="7" t="inlineStr">
        <is>
          <t>Réponse reçue</t>
        </is>
      </c>
      <c r="B10" s="7" t="inlineStr">
        <is>
          <t>3. Suivi initial</t>
        </is>
      </c>
      <c r="C10" s="7" t="inlineStr">
        <is>
          <t>Oui</t>
        </is>
      </c>
      <c r="D10" s="7" t="inlineStr">
        <is>
          <t>Oui</t>
        </is>
      </c>
      <c r="E10" s="7" t="inlineStr">
        <is>
          <t>Oui</t>
        </is>
      </c>
      <c r="F10" s="7" t="n"/>
      <c r="G10" s="7" t="inlineStr">
        <is>
          <t>Autre</t>
        </is>
      </c>
      <c r="H10" s="7" t="inlineStr">
        <is>
          <t>Note interne</t>
        </is>
      </c>
      <c r="I10" s="7" t="inlineStr">
        <is>
          <t>Proposition envoyée</t>
        </is>
      </c>
      <c r="J10" s="7" t="n"/>
      <c r="K10" s="7" t="inlineStr">
        <is>
          <t>Entrant (il nous a contactés)</t>
        </is>
      </c>
      <c r="L10" s="7" t="n"/>
      <c r="M10" s="7" t="n"/>
      <c r="N10" s="7" t="inlineStr">
        <is>
          <t>Relance 3 - dernière de la séquence (jours)</t>
        </is>
      </c>
      <c r="O10" s="17" t="n">
        <v>14</v>
      </c>
      <c r="P10" s="7" t="inlineStr"/>
      <c r="Q10" s="7" t="n"/>
      <c r="R10" s="7" t="n"/>
      <c r="S10" s="7" t="n"/>
      <c r="T10" s="7" t="n"/>
      <c r="U10" s="18" t="n">
        <v>46388</v>
      </c>
    </row>
    <row r="11">
      <c r="A11" s="7" t="inlineStr">
        <is>
          <t>Rendez-vous à planifier</t>
        </is>
      </c>
      <c r="B11" s="7" t="inlineStr">
        <is>
          <t>4. Qualification et rendez-vous</t>
        </is>
      </c>
      <c r="C11" s="7" t="inlineStr">
        <is>
          <t>Oui</t>
        </is>
      </c>
      <c r="D11" s="7" t="inlineStr">
        <is>
          <t>Oui</t>
        </is>
      </c>
      <c r="E11" s="7" t="inlineStr">
        <is>
          <t>Oui</t>
        </is>
      </c>
      <c r="F11" s="7" t="n"/>
      <c r="G11" s="7" t="n"/>
      <c r="H11" s="7" t="inlineStr">
        <is>
          <t>Clôture</t>
        </is>
      </c>
      <c r="I11" s="7" t="inlineStr">
        <is>
          <t>Négociation</t>
        </is>
      </c>
      <c r="J11" s="7" t="n"/>
      <c r="K11" s="7" t="inlineStr">
        <is>
          <t>Autre</t>
        </is>
      </c>
      <c r="L11" s="7" t="n"/>
      <c r="M11" s="7" t="n"/>
      <c r="N11" s="7" t="inlineStr">
        <is>
          <t>Mise en sommeil après la séquence (jours)</t>
        </is>
      </c>
      <c r="O11" s="17" t="n">
        <v>90</v>
      </c>
      <c r="P11" s="7" t="inlineStr">
        <is>
          <t>Délai avant une reprise de contact sans réponse</t>
        </is>
      </c>
      <c r="Q11" s="7" t="n"/>
      <c r="R11" s="7" t="n"/>
      <c r="S11" s="7" t="n"/>
      <c r="T11" s="7" t="n"/>
      <c r="U11" s="18" t="n">
        <v>46472</v>
      </c>
    </row>
    <row r="12">
      <c r="A12" s="7" t="inlineStr">
        <is>
          <t>Rendez-vous confirmé</t>
        </is>
      </c>
      <c r="B12" s="7" t="inlineStr">
        <is>
          <t>4. Qualification et rendez-vous</t>
        </is>
      </c>
      <c r="C12" s="7" t="inlineStr">
        <is>
          <t>Oui</t>
        </is>
      </c>
      <c r="D12" s="7" t="inlineStr">
        <is>
          <t>Oui</t>
        </is>
      </c>
      <c r="E12" s="7" t="inlineStr">
        <is>
          <t>Oui</t>
        </is>
      </c>
      <c r="F12" s="7" t="n"/>
      <c r="G12" s="7" t="n"/>
      <c r="H12" s="7" t="n"/>
      <c r="I12" s="7" t="inlineStr">
        <is>
          <t>Vente conclue</t>
        </is>
      </c>
      <c r="J12" s="7" t="n"/>
      <c r="K12" s="7" t="n"/>
      <c r="L12" s="7" t="n"/>
      <c r="M12" s="7" t="n"/>
      <c r="N12" s="7" t="inlineStr">
        <is>
          <t>Tentatives après réveil avant clôture</t>
        </is>
      </c>
      <c r="O12" s="17" t="n">
        <v>1</v>
      </c>
      <c r="P12" s="7" t="inlineStr">
        <is>
          <t>Au-delà, le dossier passe à Perdu (aucune réponse)</t>
        </is>
      </c>
      <c r="Q12" s="7" t="n"/>
      <c r="R12" s="7" t="n"/>
      <c r="S12" s="7" t="n"/>
      <c r="T12" s="7" t="n"/>
      <c r="U12" s="18" t="n">
        <v>46531</v>
      </c>
    </row>
    <row r="13">
      <c r="A13" s="7" t="inlineStr">
        <is>
          <t>Besoin à analyser</t>
        </is>
      </c>
      <c r="B13" s="7" t="inlineStr">
        <is>
          <t>4. Qualification et rendez-vous</t>
        </is>
      </c>
      <c r="C13" s="7" t="inlineStr">
        <is>
          <t>Oui</t>
        </is>
      </c>
      <c r="D13" s="7" t="inlineStr">
        <is>
          <t>Oui</t>
        </is>
      </c>
      <c r="E13" s="7" t="inlineStr">
        <is>
          <t>Oui</t>
        </is>
      </c>
      <c r="F13" s="7" t="n"/>
      <c r="G13" s="7" t="n"/>
      <c r="H13" s="7" t="n"/>
      <c r="I13" s="7" t="inlineStr">
        <is>
          <t>Refus définitif</t>
        </is>
      </c>
      <c r="J13" s="7" t="n"/>
      <c r="K13" s="7" t="n"/>
      <c r="L13" s="7" t="n"/>
      <c r="M13" s="7" t="n"/>
      <c r="N13" s="7" t="inlineStr">
        <is>
          <t>Score minimum pour contacter (sur 100)</t>
        </is>
      </c>
      <c r="O13" s="17" t="n">
        <v>50</v>
      </c>
      <c r="P13" s="7" t="inlineStr">
        <is>
          <t>En dessous : approfondir ou abandonner</t>
        </is>
      </c>
      <c r="Q13" s="7" t="n"/>
      <c r="R13" s="7" t="n"/>
      <c r="S13" s="7" t="n"/>
      <c r="T13" s="7" t="n"/>
      <c r="U13" s="18" t="n">
        <v>46562</v>
      </c>
    </row>
    <row r="14">
      <c r="A14" s="7" t="inlineStr">
        <is>
          <t>Proposition commerciale à préparer</t>
        </is>
      </c>
      <c r="B14" s="7" t="inlineStr">
        <is>
          <t>5. Proposition et négociation</t>
        </is>
      </c>
      <c r="C14" s="7" t="inlineStr">
        <is>
          <t>Oui</t>
        </is>
      </c>
      <c r="D14" s="7" t="inlineStr">
        <is>
          <t>Oui</t>
        </is>
      </c>
      <c r="E14" s="7" t="inlineStr">
        <is>
          <t>Oui</t>
        </is>
      </c>
      <c r="F14" s="7" t="n"/>
      <c r="G14" s="7" t="n"/>
      <c r="H14" s="7" t="n"/>
      <c r="I14" s="7" t="inlineStr">
        <is>
          <t>Report demandé</t>
        </is>
      </c>
      <c r="J14" s="7" t="n"/>
      <c r="K14" s="7" t="n"/>
      <c r="L14" s="7" t="n"/>
      <c r="M14" s="7" t="n"/>
      <c r="N14" s="7" t="inlineStr">
        <is>
          <t>Valeur moyenne d'un contrat ($)</t>
        </is>
      </c>
      <c r="O14" s="17" t="n">
        <v>2000</v>
      </c>
      <c r="P14" s="7" t="inlineStr">
        <is>
          <t>Hypothèse utilisée quand la valeur est inconnue</t>
        </is>
      </c>
      <c r="Q14" s="7" t="n"/>
      <c r="R14" s="7" t="n"/>
      <c r="S14" s="7" t="n"/>
      <c r="T14" s="7" t="n"/>
      <c r="U14" s="18" t="n">
        <v>46569</v>
      </c>
    </row>
    <row r="15">
      <c r="A15" s="7" t="inlineStr">
        <is>
          <t>Proposition envoyée</t>
        </is>
      </c>
      <c r="B15" s="7" t="inlineStr">
        <is>
          <t>5. Proposition et négociation</t>
        </is>
      </c>
      <c r="C15" s="7" t="inlineStr">
        <is>
          <t>Oui</t>
        </is>
      </c>
      <c r="D15" s="7" t="inlineStr">
        <is>
          <t>Oui</t>
        </is>
      </c>
      <c r="E15" s="7" t="inlineStr">
        <is>
          <t>Oui</t>
        </is>
      </c>
      <c r="F15" s="7" t="n"/>
      <c r="G15" s="7" t="n"/>
      <c r="H15" s="7" t="n"/>
      <c r="I15" s="7" t="inlineStr">
        <is>
          <t>Demande de non-contact</t>
        </is>
      </c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18" t="n">
        <v>46636</v>
      </c>
    </row>
    <row r="16">
      <c r="A16" s="7" t="inlineStr">
        <is>
          <t>Négociation en cours</t>
        </is>
      </c>
      <c r="B16" s="7" t="inlineStr">
        <is>
          <t>5. Proposition et négociation</t>
        </is>
      </c>
      <c r="C16" s="7" t="inlineStr">
        <is>
          <t>Oui</t>
        </is>
      </c>
      <c r="D16" s="7" t="inlineStr">
        <is>
          <t>Oui</t>
        </is>
      </c>
      <c r="E16" s="7" t="inlineStr">
        <is>
          <t>Oui</t>
        </is>
      </c>
      <c r="F16" s="7" t="n"/>
      <c r="G16" s="7" t="n"/>
      <c r="H16" s="7" t="n"/>
      <c r="I16" s="7" t="inlineStr">
        <is>
          <t>Autre</t>
        </is>
      </c>
      <c r="J16" s="7" t="n"/>
      <c r="K16" s="7" t="n"/>
      <c r="L16" s="7" t="n"/>
      <c r="M16" s="7" t="n"/>
      <c r="N16" s="16" t="inlineStr">
        <is>
          <t>Les cellules jaunes se modifient librement. Ne pas renommer les en-têtes : le moteur s'en sert.</t>
        </is>
      </c>
      <c r="O16" s="7" t="n"/>
      <c r="P16" s="7" t="n"/>
      <c r="Q16" s="7" t="n"/>
      <c r="R16" s="7" t="n"/>
      <c r="S16" s="7" t="n"/>
      <c r="T16" s="7" t="n"/>
      <c r="U16" s="18" t="n">
        <v>46671</v>
      </c>
    </row>
    <row r="17">
      <c r="A17" s="7" t="inlineStr">
        <is>
          <t>Client gagné</t>
        </is>
      </c>
      <c r="B17" s="7" t="inlineStr">
        <is>
          <t>6. Conclusion</t>
        </is>
      </c>
      <c r="C17" s="7" t="inlineStr">
        <is>
          <t>Non</t>
        </is>
      </c>
      <c r="D17" s="7" t="inlineStr">
        <is>
          <t>Oui</t>
        </is>
      </c>
      <c r="E17" s="7" t="inlineStr">
        <is>
          <t>Non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18" t="n">
        <v>46746</v>
      </c>
    </row>
    <row r="18">
      <c r="A18" s="7" t="inlineStr">
        <is>
          <t>Prospect à recontacter ultérieurement</t>
        </is>
      </c>
      <c r="B18" s="7" t="inlineStr">
        <is>
          <t>6. Conclusion</t>
        </is>
      </c>
      <c r="C18" s="7" t="inlineStr">
        <is>
          <t>Oui</t>
        </is>
      </c>
      <c r="D18" s="7" t="inlineStr">
        <is>
          <t>Oui</t>
        </is>
      </c>
      <c r="E18" s="7" t="inlineStr">
        <is>
          <t>Non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18" t="n"/>
    </row>
    <row r="19">
      <c r="A19" s="7" t="inlineStr">
        <is>
          <t>Perdu</t>
        </is>
      </c>
      <c r="B19" s="7" t="inlineStr">
        <is>
          <t>6. Conclusion</t>
        </is>
      </c>
      <c r="C19" s="7" t="inlineStr">
        <is>
          <t>Non</t>
        </is>
      </c>
      <c r="D19" s="7" t="inlineStr">
        <is>
          <t>Oui</t>
        </is>
      </c>
      <c r="E19" s="7" t="inlineStr">
        <is>
          <t>Non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18" t="n"/>
    </row>
    <row r="20">
      <c r="A20" s="7" t="inlineStr">
        <is>
          <t>Refus définitif</t>
        </is>
      </c>
      <c r="B20" s="7" t="inlineStr">
        <is>
          <t>6. Conclusion</t>
        </is>
      </c>
      <c r="C20" s="7" t="inlineStr">
        <is>
          <t>Non</t>
        </is>
      </c>
      <c r="D20" s="7" t="inlineStr">
        <is>
          <t>Oui</t>
        </is>
      </c>
      <c r="E20" s="7" t="inlineStr">
        <is>
          <t>Non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18" t="n"/>
    </row>
    <row r="21">
      <c r="A21" s="7" t="inlineStr">
        <is>
          <t>Ne plus contacter</t>
        </is>
      </c>
      <c r="B21" s="7" t="inlineStr">
        <is>
          <t>6. Conclusion</t>
        </is>
      </c>
      <c r="C21" s="7" t="inlineStr">
        <is>
          <t>Non</t>
        </is>
      </c>
      <c r="D21" s="7" t="inlineStr">
        <is>
          <t>Oui</t>
        </is>
      </c>
      <c r="E21" s="7" t="inlineStr">
        <is>
          <t>Non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1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1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1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1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1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1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1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1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1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1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1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1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1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1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1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1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1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1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1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1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1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1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1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1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1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1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1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1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1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1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1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1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1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1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1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1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1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1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18" t="n"/>
    </row>
  </sheetData>
  <dataValidations count="1">
    <dataValidation sqref="C2:E40 S2:S8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6" customWidth="1" min="3" max="3"/>
    <col width="12" customWidth="1" min="4" max="4"/>
    <col width="30" customWidth="1" min="5" max="5"/>
    <col width="13" customWidth="1" min="6" max="6"/>
    <col width="12" customWidth="1" min="7" max="7"/>
    <col width="12" customWidth="1" min="8" max="8"/>
    <col width="23" customWidth="1" min="9" max="9"/>
    <col width="40" customWidth="1" min="10" max="10"/>
  </cols>
  <sheetData>
    <row r="1" ht="34" customHeight="1">
      <c r="A1" s="5" t="inlineStr">
        <is>
          <t>Date de la demande</t>
        </is>
      </c>
      <c r="B1" s="5" t="inlineStr">
        <is>
          <t>ID prospect</t>
        </is>
      </c>
      <c r="C1" s="5" t="inlineStr">
        <is>
          <t>Entreprise</t>
        </is>
      </c>
      <c r="D1" s="5" t="inlineStr">
        <is>
          <t>Contact</t>
        </is>
      </c>
      <c r="E1" s="5" t="inlineStr">
        <is>
          <t>Courriel</t>
        </is>
      </c>
      <c r="F1" s="5" t="inlineStr">
        <is>
          <t>Téléphone</t>
        </is>
      </c>
      <c r="G1" s="5" t="inlineStr">
        <is>
          <t>Domaine</t>
        </is>
      </c>
      <c r="H1" s="5" t="inlineStr">
        <is>
          <t>Portée</t>
        </is>
      </c>
      <c r="I1" s="5" t="inlineStr">
        <is>
          <t>Canal de la demande</t>
        </is>
      </c>
      <c r="J1" s="5" t="inlineStr">
        <is>
          <t>Notes</t>
        </is>
      </c>
    </row>
  </sheetData>
  <autoFilter ref="A1:J10000"/>
  <dataValidations count="1">
    <dataValidation sqref="H2:H10000" showDropDown="0" showInputMessage="0" showErrorMessage="0" allowBlank="0" type="list">
      <formula1>"Entreprise entière,Cette personne seulement"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2026-10-10T03:30:52Z</dcterms:created>
  <dcterms:modified xmlns:dcterms="http://purl.org/dc/terms/" xmlns:xsi="http://www.w3.org/2001/XMLSchema-instance" xsi:type="dcterms:W3CDTF">2026-10-10T03:30:52Z</dcterms:modified>
</cp:coreProperties>
</file>